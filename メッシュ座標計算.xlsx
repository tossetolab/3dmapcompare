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hiw\Documents\GIS\3d-web-map\3dtiles_pc\"/>
    </mc:Choice>
  </mc:AlternateContent>
  <xr:revisionPtr revIDLastSave="0" documentId="13_ncr:1_{EB1A39A8-5CAD-48DD-BCF6-C2AC4AE7DF0D}" xr6:coauthVersionLast="47" xr6:coauthVersionMax="47" xr10:uidLastSave="{00000000-0000-0000-0000-000000000000}"/>
  <bookViews>
    <workbookView xWindow="-120" yWindow="-120" windowWidth="29040" windowHeight="15720" xr2:uid="{C50F483B-EB95-497F-9E55-7A7A0369C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C8" i="1"/>
  <c r="M8" i="1"/>
  <c r="L8" i="1"/>
  <c r="J8" i="1"/>
  <c r="E8" i="1"/>
  <c r="F8" i="1"/>
  <c r="G8" i="1" s="1"/>
  <c r="H8" i="1" s="1"/>
  <c r="I8" i="1" s="1"/>
  <c r="I4" i="1"/>
  <c r="N8" i="1"/>
  <c r="K8" i="1"/>
  <c r="N4" i="1"/>
  <c r="M4" i="1"/>
  <c r="L4" i="1"/>
  <c r="K4" i="1"/>
  <c r="H4" i="1"/>
  <c r="G4" i="1"/>
  <c r="F4" i="1"/>
  <c r="J4" i="1"/>
  <c r="E4" i="1"/>
  <c r="D4" i="1"/>
  <c r="C4" i="1"/>
  <c r="C15" i="1" l="1"/>
  <c r="D15" i="1"/>
  <c r="E15" i="1"/>
  <c r="F15" i="1"/>
  <c r="D14" i="1"/>
  <c r="C14" i="1" l="1"/>
  <c r="E14" i="1"/>
  <c r="F14" i="1"/>
</calcChain>
</file>

<file path=xl/sharedStrings.xml><?xml version="1.0" encoding="utf-8"?>
<sst xmlns="http://schemas.openxmlformats.org/spreadsheetml/2006/main" count="47" uniqueCount="26">
  <si>
    <t>https://www.stat.go.jp/data/mesh/pdf/gaiyo1.pdf</t>
    <phoneticPr fontId="1"/>
  </si>
  <si>
    <t>総務省統計局 地域メッシュ統計の特質・沿革</t>
    <rPh sb="0" eb="3">
      <t>ソウムショウ</t>
    </rPh>
    <rPh sb="3" eb="6">
      <t>トウケイキョク</t>
    </rPh>
    <phoneticPr fontId="1"/>
  </si>
  <si>
    <t>南端緯度</t>
    <phoneticPr fontId="1"/>
  </si>
  <si>
    <t>西端経度</t>
    <phoneticPr fontId="1"/>
  </si>
  <si>
    <t>南西（左下）の緯度</t>
    <phoneticPr fontId="1"/>
  </si>
  <si>
    <t>北東（右上）の緯度</t>
    <phoneticPr fontId="1"/>
  </si>
  <si>
    <t>緯度間隔</t>
    <rPh sb="2" eb="4">
      <t>カンカク</t>
    </rPh>
    <phoneticPr fontId="1"/>
  </si>
  <si>
    <t>1次メッシュ</t>
    <phoneticPr fontId="1"/>
  </si>
  <si>
    <t>2次メッシュ</t>
    <phoneticPr fontId="1"/>
  </si>
  <si>
    <t>縦の等分区画</t>
    <rPh sb="0" eb="1">
      <t>タテ</t>
    </rPh>
    <rPh sb="2" eb="4">
      <t>トウブン</t>
    </rPh>
    <rPh sb="4" eb="6">
      <t>クカク</t>
    </rPh>
    <phoneticPr fontId="1"/>
  </si>
  <si>
    <t>追加緯度</t>
    <rPh sb="0" eb="2">
      <t>ツイカ</t>
    </rPh>
    <rPh sb="2" eb="4">
      <t>イド</t>
    </rPh>
    <phoneticPr fontId="1"/>
  </si>
  <si>
    <t>南西（左下）の経度</t>
  </si>
  <si>
    <t>横の等分区画</t>
    <rPh sb="0" eb="1">
      <t>ヨコ</t>
    </rPh>
    <rPh sb="2" eb="4">
      <t>トウブン</t>
    </rPh>
    <rPh sb="4" eb="6">
      <t>クカク</t>
    </rPh>
    <phoneticPr fontId="1"/>
  </si>
  <si>
    <t>追加経度</t>
    <rPh sb="0" eb="2">
      <t>ツイカ</t>
    </rPh>
    <rPh sb="2" eb="4">
      <t>ケイド</t>
    </rPh>
    <phoneticPr fontId="1"/>
  </si>
  <si>
    <t>経度間隔</t>
    <rPh sb="0" eb="2">
      <t>ケイド</t>
    </rPh>
    <rPh sb="2" eb="4">
      <t>カンカク</t>
    </rPh>
    <phoneticPr fontId="1"/>
  </si>
  <si>
    <t>北東（右上）の経度</t>
    <phoneticPr fontId="1"/>
  </si>
  <si>
    <t>https://vldb.gsi.go.jp/sokuchi/surveycalc/surveycalc/bl2xyf.html</t>
    <phoneticPr fontId="1"/>
  </si>
  <si>
    <t>平面直角座標への換算</t>
    <phoneticPr fontId="1"/>
  </si>
  <si>
    <t>2次メッシュコード</t>
    <phoneticPr fontId="1"/>
  </si>
  <si>
    <t>メッシュコード</t>
    <phoneticPr fontId="1"/>
  </si>
  <si>
    <t>3次メッシュコード</t>
    <rPh sb="1" eb="2">
      <t>ジ</t>
    </rPh>
    <phoneticPr fontId="1"/>
  </si>
  <si>
    <t xml:space="preserve">左下のY座標	</t>
    <phoneticPr fontId="1"/>
  </si>
  <si>
    <t xml:space="preserve">右上のY座標	</t>
    <phoneticPr fontId="1"/>
  </si>
  <si>
    <t xml:space="preserve">左下のX座標	</t>
    <phoneticPr fontId="1"/>
  </si>
  <si>
    <t xml:space="preserve">右上のX座標	</t>
    <phoneticPr fontId="1"/>
  </si>
  <si>
    <t>3次メッシュ</t>
    <rPh sb="1" eb="2">
      <t>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</si>
</sst>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"/>
    <numFmt numFmtId="177" formatCode="0.00000"/>
    <numFmt numFmtId="178" formatCode="0.0000000"/>
    <numFmt numFmtId="179" formatCode="0.000000000_ "/>
    <numFmt numFmtId="186" formatCode="0.00000000_ "/>
    <numFmt numFmtId="188" formatCode="0.00000000"/>
  </numFmts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0" xfId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4" fillId="0" borderId="0" xfId="0" applyNumberFormat="1" applyFont="1">
      <alignment vertical="center"/>
    </xf>
    <xf numFmtId="186" fontId="2" fillId="0" borderId="0" xfId="0" applyNumberFormat="1" applyFont="1">
      <alignment vertical="center"/>
    </xf>
    <xf numFmtId="186" fontId="0" fillId="0" borderId="0" xfId="0" applyNumberFormat="1">
      <alignment vertical="center"/>
    </xf>
    <xf numFmtId="188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ldb.gsi.go.jp/sokuchi/surveycalc/surveycalc/bl2xyf.html" TargetMode="External"/><Relationship Id="rId1" Type="http://schemas.openxmlformats.org/officeDocument/2006/relationships/hyperlink" Target="https://www.stat.go.jp/data/mesh/pdf/gaiyo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7502-2B02-4BFA-8691-EB69A53E46EA}">
  <dimension ref="A1:N15"/>
  <sheetViews>
    <sheetView tabSelected="1" zoomScaleNormal="100" workbookViewId="0">
      <selection activeCell="I15" sqref="I15"/>
    </sheetView>
  </sheetViews>
  <sheetFormatPr defaultRowHeight="18.75"/>
  <cols>
    <col min="1" max="1" width="20.625" customWidth="1"/>
    <col min="2" max="2" width="12.375" customWidth="1"/>
    <col min="3" max="3" width="16.25" customWidth="1"/>
    <col min="4" max="4" width="19" customWidth="1"/>
    <col min="5" max="5" width="18.25" customWidth="1"/>
    <col min="6" max="7" width="16.125" customWidth="1"/>
    <col min="8" max="8" width="16.875" customWidth="1"/>
    <col min="9" max="9" width="16.125" customWidth="1"/>
    <col min="10" max="10" width="16.25" customWidth="1"/>
    <col min="11" max="11" width="13" bestFit="1" customWidth="1"/>
    <col min="12" max="12" width="12.75" bestFit="1" customWidth="1"/>
    <col min="13" max="14" width="19.25" bestFit="1" customWidth="1"/>
  </cols>
  <sheetData>
    <row r="1" spans="1:14">
      <c r="A1" t="s">
        <v>1</v>
      </c>
      <c r="B1" s="1" t="s">
        <v>0</v>
      </c>
    </row>
    <row r="2" spans="1:14">
      <c r="B2" s="1"/>
      <c r="C2" t="s">
        <v>7</v>
      </c>
      <c r="E2" t="s">
        <v>8</v>
      </c>
    </row>
    <row r="3" spans="1:14">
      <c r="B3" t="s">
        <v>19</v>
      </c>
      <c r="C3" s="3" t="s">
        <v>2</v>
      </c>
      <c r="D3" s="3" t="s">
        <v>3</v>
      </c>
      <c r="E3" s="3" t="s">
        <v>6</v>
      </c>
      <c r="F3" s="3" t="s">
        <v>9</v>
      </c>
      <c r="G3" s="3" t="s">
        <v>10</v>
      </c>
      <c r="H3" t="s">
        <v>4</v>
      </c>
      <c r="I3" t="s">
        <v>5</v>
      </c>
      <c r="J3" s="3" t="s">
        <v>14</v>
      </c>
      <c r="K3" s="3" t="s">
        <v>12</v>
      </c>
      <c r="L3" s="3" t="s">
        <v>13</v>
      </c>
      <c r="M3" t="s">
        <v>11</v>
      </c>
      <c r="N3" s="3" t="s">
        <v>15</v>
      </c>
    </row>
    <row r="4" spans="1:14">
      <c r="A4" t="s">
        <v>18</v>
      </c>
      <c r="B4">
        <v>523856</v>
      </c>
      <c r="C4" s="4">
        <f>MID(B4,1,2)/1.5</f>
        <v>34.666666666666664</v>
      </c>
      <c r="D4">
        <f>100+INT(MID(B4,3,2))</f>
        <v>138</v>
      </c>
      <c r="E4" s="10">
        <f>5/60</f>
        <v>8.3333333333333329E-2</v>
      </c>
      <c r="F4" s="2">
        <f>INT(MID(B4,5,1))</f>
        <v>5</v>
      </c>
      <c r="G4" s="10">
        <f>E4*F4</f>
        <v>0.41666666666666663</v>
      </c>
      <c r="H4" s="8">
        <f>C4+G4</f>
        <v>35.083333333333329</v>
      </c>
      <c r="I4" s="8">
        <f>H4+E4</f>
        <v>35.166666666666664</v>
      </c>
      <c r="J4" s="10">
        <f>7.5/60</f>
        <v>0.125</v>
      </c>
      <c r="K4" s="2">
        <f>INT(MID(B4,6,1))</f>
        <v>6</v>
      </c>
      <c r="L4" s="7">
        <f>J4*K4</f>
        <v>0.75</v>
      </c>
      <c r="M4" s="8">
        <f>D4+L4</f>
        <v>138.75</v>
      </c>
      <c r="N4" s="8">
        <f>M4+J4</f>
        <v>138.875</v>
      </c>
    </row>
    <row r="5" spans="1:14">
      <c r="C5" s="4"/>
      <c r="E5" s="5"/>
      <c r="F5" s="2"/>
      <c r="G5" s="6"/>
      <c r="H5" s="8"/>
      <c r="I5" s="8"/>
      <c r="J5" s="5"/>
      <c r="K5" s="2"/>
      <c r="L5" s="7"/>
      <c r="M5" s="8"/>
      <c r="N5" s="8"/>
    </row>
    <row r="6" spans="1:14">
      <c r="C6" t="s">
        <v>8</v>
      </c>
      <c r="E6" s="5" t="s">
        <v>25</v>
      </c>
      <c r="F6" s="2"/>
      <c r="G6" s="6"/>
      <c r="H6" s="8"/>
      <c r="I6" s="8"/>
      <c r="J6" s="5"/>
      <c r="K6" s="2"/>
      <c r="L6" s="7"/>
      <c r="M6" s="8"/>
      <c r="N6" s="8"/>
    </row>
    <row r="7" spans="1:14">
      <c r="B7" t="s">
        <v>19</v>
      </c>
      <c r="C7" s="3" t="s">
        <v>2</v>
      </c>
      <c r="D7" s="3" t="s">
        <v>3</v>
      </c>
      <c r="E7" s="3" t="s">
        <v>6</v>
      </c>
      <c r="F7" s="3" t="s">
        <v>9</v>
      </c>
      <c r="G7" s="3" t="s">
        <v>10</v>
      </c>
      <c r="H7" t="s">
        <v>4</v>
      </c>
      <c r="I7" t="s">
        <v>5</v>
      </c>
      <c r="J7" s="3" t="s">
        <v>14</v>
      </c>
      <c r="K7" s="3" t="s">
        <v>12</v>
      </c>
      <c r="L7" s="3" t="s">
        <v>13</v>
      </c>
      <c r="M7" t="s">
        <v>11</v>
      </c>
      <c r="N7" s="3" t="s">
        <v>15</v>
      </c>
    </row>
    <row r="8" spans="1:14">
      <c r="A8" t="s">
        <v>20</v>
      </c>
      <c r="B8">
        <v>52385628</v>
      </c>
      <c r="C8" s="9">
        <f>H4</f>
        <v>35.083333333333329</v>
      </c>
      <c r="D8" s="9">
        <f>M4</f>
        <v>138.75</v>
      </c>
      <c r="E8">
        <f>30/3600</f>
        <v>8.3333333333333332E-3</v>
      </c>
      <c r="F8" s="2">
        <f>INT(MID(B8,7,1))</f>
        <v>2</v>
      </c>
      <c r="G8" s="10">
        <f>E8*F8</f>
        <v>1.6666666666666666E-2</v>
      </c>
      <c r="H8" s="8">
        <f>C8+G8</f>
        <v>35.099999999999994</v>
      </c>
      <c r="I8" s="8">
        <f>H8+E8</f>
        <v>35.108333333333327</v>
      </c>
      <c r="J8" s="10">
        <f>45/3600</f>
        <v>1.2500000000000001E-2</v>
      </c>
      <c r="K8" s="2">
        <f>INT(MID(B8,8,1))</f>
        <v>8</v>
      </c>
      <c r="L8" s="7">
        <f>J8*K8</f>
        <v>0.1</v>
      </c>
      <c r="M8" s="8">
        <f>D8+L8</f>
        <v>138.85</v>
      </c>
      <c r="N8" s="8">
        <f>M8+J8</f>
        <v>138.86249999999998</v>
      </c>
    </row>
    <row r="11" spans="1:14">
      <c r="A11" t="s">
        <v>17</v>
      </c>
      <c r="B11" s="1" t="s">
        <v>16</v>
      </c>
    </row>
    <row r="13" spans="1:14">
      <c r="B13" t="s">
        <v>19</v>
      </c>
      <c r="C13" t="s">
        <v>4</v>
      </c>
      <c r="D13" t="s">
        <v>5</v>
      </c>
      <c r="E13" t="s">
        <v>11</v>
      </c>
      <c r="F13" s="3" t="s">
        <v>15</v>
      </c>
      <c r="G13" t="s">
        <v>21</v>
      </c>
      <c r="H13" t="s">
        <v>22</v>
      </c>
      <c r="I13" t="s">
        <v>23</v>
      </c>
      <c r="J13" t="s">
        <v>24</v>
      </c>
    </row>
    <row r="14" spans="1:14">
      <c r="A14" t="s">
        <v>18</v>
      </c>
      <c r="B14">
        <v>523856</v>
      </c>
      <c r="C14" s="9">
        <f>H4</f>
        <v>35.083333333333329</v>
      </c>
      <c r="D14" s="9">
        <f>I4</f>
        <v>35.166666666666664</v>
      </c>
      <c r="E14" s="9">
        <f>M4</f>
        <v>138.75</v>
      </c>
      <c r="F14" s="9">
        <f>N4</f>
        <v>138.875</v>
      </c>
      <c r="G14">
        <v>22796.625499999998</v>
      </c>
      <c r="H14">
        <v>34160.172299999998</v>
      </c>
      <c r="I14">
        <v>-101665.90119999999</v>
      </c>
      <c r="J14">
        <v>-92385.786099999998</v>
      </c>
    </row>
    <row r="15" spans="1:14">
      <c r="A15" t="s">
        <v>20</v>
      </c>
      <c r="B15">
        <v>52385628</v>
      </c>
      <c r="C15" s="9">
        <f>H8</f>
        <v>35.099999999999994</v>
      </c>
      <c r="D15" s="9">
        <f>I8</f>
        <v>35.108333333333327</v>
      </c>
      <c r="E15" s="9">
        <f>M8</f>
        <v>138.85</v>
      </c>
      <c r="F15" s="9">
        <f>N8</f>
        <v>138.86249999999998</v>
      </c>
      <c r="G15">
        <v>31908.8161</v>
      </c>
      <c r="H15">
        <v>33045.058400000002</v>
      </c>
      <c r="I15">
        <v>-99789.593699999998</v>
      </c>
      <c r="J15">
        <v>-98861.085099999997</v>
      </c>
    </row>
  </sheetData>
  <phoneticPr fontId="1"/>
  <hyperlinks>
    <hyperlink ref="B1" r:id="rId1" xr:uid="{5A0C042F-DFA9-4A01-8233-A88A4DB42B5A}"/>
    <hyperlink ref="B11" r:id="rId2" xr:uid="{9021CB2A-BD10-49AE-8A4C-7D257E33542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87FB94E264D714DAE767FC869436D93" ma:contentTypeVersion="6" ma:contentTypeDescription="新しいドキュメントを作成します。" ma:contentTypeScope="" ma:versionID="edd1dc20b3d6c1f3c6ca114964f73abb">
  <xsd:schema xmlns:xsd="http://www.w3.org/2001/XMLSchema" xmlns:xs="http://www.w3.org/2001/XMLSchema" xmlns:p="http://schemas.microsoft.com/office/2006/metadata/properties" xmlns:ns3="d295073d-937a-4a0e-a0a7-238d926d5324" targetNamespace="http://schemas.microsoft.com/office/2006/metadata/properties" ma:root="true" ma:fieldsID="4e7c76ef2f9f8cc3118eb4f644e81724" ns3:_="">
    <xsd:import namespace="d295073d-937a-4a0e-a0a7-238d926d532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5073d-937a-4a0e-a0a7-238d926d532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95073d-937a-4a0e-a0a7-238d926d5324" xsi:nil="true"/>
  </documentManagement>
</p:properties>
</file>

<file path=customXml/itemProps1.xml><?xml version="1.0" encoding="utf-8"?>
<ds:datastoreItem xmlns:ds="http://schemas.openxmlformats.org/officeDocument/2006/customXml" ds:itemID="{7F2CD0A7-DE8D-46E9-9A98-E9360E4A6C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DF2885-7620-4146-ACD6-959811ED4F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95073d-937a-4a0e-a0a7-238d926d53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811FD5-D74E-40E6-B272-8531083928D0}">
  <ds:schemaRefs>
    <ds:schemaRef ds:uri="d295073d-937a-4a0e-a0a7-238d926d5324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塩飽洋平</dc:creator>
  <cp:lastModifiedBy>塩飽洋平</cp:lastModifiedBy>
  <dcterms:created xsi:type="dcterms:W3CDTF">2024-12-12T06:39:09Z</dcterms:created>
  <dcterms:modified xsi:type="dcterms:W3CDTF">2024-12-16T12:35:22Z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0x010100487FB94E264D714DAE767FC869436D93</vt:lpwstr>
  </property>
</Properties>
</file>